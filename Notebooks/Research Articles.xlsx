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C5050051-7855-458F-86A6-247F5ADEAA42}" xr6:coauthVersionLast="47" xr6:coauthVersionMax="47" xr10:uidLastSave="{00000000-0000-0000-0000-000000000000}"/>
  <bookViews>
    <workbookView xWindow="-108" yWindow="-108" windowWidth="23256" windowHeight="12456" xr2:uid="{00000000-000D-0000-FFFF-FFFF00000000}"/>
  </bookViews>
  <sheets>
    <sheet name="Sheet 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 l="1"/>
  <c r="B10" i="3"/>
  <c r="B9" i="3"/>
  <c r="B8" i="3"/>
  <c r="B7" i="3"/>
  <c r="B6" i="3"/>
  <c r="B5" i="3"/>
  <c r="B4" i="3"/>
  <c r="B3" i="3"/>
  <c r="B2" i="3"/>
</calcChain>
</file>

<file path=xl/sharedStrings.xml><?xml version="1.0" encoding="utf-8"?>
<sst xmlns="http://schemas.openxmlformats.org/spreadsheetml/2006/main" count="134" uniqueCount="130">
  <si>
    <t>S.No</t>
  </si>
  <si>
    <t>Research Article URL</t>
  </si>
  <si>
    <t>Business Problem</t>
  </si>
  <si>
    <t>Download Data (if available)</t>
  </si>
  <si>
    <t>Solution approach</t>
  </si>
  <si>
    <t>Any interesting insights</t>
  </si>
  <si>
    <t>Variables Used</t>
  </si>
  <si>
    <t>Data set used</t>
  </si>
  <si>
    <t>Choosing the best sperm and eggs for IVF is done by experts, but they can make mistakes or miss subtle details. Automating this step with AI could help pick the healthiest sperm and eggs more reliably and quickly.</t>
  </si>
  <si>
    <t>IVF outcomes are hard to predict, making it difficult for doctors to guide patients and for couples to plan with confidence. This uncertainty can increase stress and lead to less informed choices.</t>
  </si>
  <si>
    <t>Use advanced machine learning models that combine clinical, demographic, and treatment data to produce accurate predictions, enabling personalized treatment plans and clearer counseling.</t>
  </si>
  <si>
    <t>Different doctors may judge embryo quality differently, leading to inconsistent IVF results. This subjectivity means some good embryos may be missed and not transferred.</t>
  </si>
  <si>
    <t>Use AI-powered image analysis and pattern recognition on gamete images to automate and standardize the selection process, improving IVF outcomes and reducing human error.</t>
  </si>
  <si>
    <t>PCOS is a common reason for infertility that is often missed due to complex symptoms and unclear test results. Many women are diagnosed late or not at all, leading to delayed or wrong treatments.</t>
  </si>
  <si>
    <t>Implement multimodal machine learning models that analyze both imaging and clinical data to give faster and more reliable diagnoses, enabling timely and tailored treatments.</t>
  </si>
  <si>
    <t>Judging egg quality by manual inspection is slow and can be inconsistent, making it harder to pick the best eggs for IVF. Errors or delays can mean wasted cycles and disappointment for patients.</t>
  </si>
  <si>
    <t>Use AI and genetic algorithms to automate egg grading, speed up selection, and consistently identify high-quality eggs, increasing the chances of a successful IVF cycle.</t>
  </si>
  <si>
    <t>IVF cycles (812), Tehran clinics</t>
  </si>
  <si>
    <t>Manual egg selection takes time, is tiring, and is subject to mistakes. This slows down the IVF process and can reduce the chances of success.</t>
  </si>
  <si>
    <t>Deploy computer vision models to rapidly sort and select oocytes, minimizing mistakes and accelerating the workflow in busy IVF labs.</t>
  </si>
  <si>
    <t>Doctors often rely on experience or general formulas for drug dosing in IVF, which can lead to overstimulation or wasted medication and extra costs. This unpredictability creates risks and can result in failed cycles.</t>
  </si>
  <si>
    <t>Employ predictive analytics and personalized ML models to optimize ovarian stimulation protocols, lowering risk and improving each patient's response.</t>
  </si>
  <si>
    <t>IVF patients and clinicians may miss early warning signs of problems because important data is scattered and manually reviewed. This can lead to serious complications or failed cycles.</t>
  </si>
  <si>
    <t>Use real-time AI-powered monitoring systems that aggregate and analyze lab, sensor, and EMR data to provide instant alerts and guide timely intervention.</t>
  </si>
  <si>
    <t>Traditional embryo selection relies on a single snapshot in time, missing patterns that reveal the best embryos. As a result, transfers may be less successful.</t>
  </si>
  <si>
    <t>Leverage AI and time-lapse imaging to analyze embryo development over time, uncover the healthiest embryos, and boost IVF success rates.</t>
  </si>
  <si>
    <t>Combining kinetics and AI improves pregnancy outcomes by identifying viable embryos more accurately.</t>
  </si>
  <si>
    <t>Ensemble learning techniques best capture complex IVF predictors beyond traditional factors, improving outcome prediction and enabling more personalized patient management.</t>
  </si>
  <si>
    <t>AI reduces inter-observer variability and enhances grading consistency; time-lapse data combined with ML improves prediction of embryo viability.</t>
  </si>
  <si>
    <t>AI models identify subtle gamete quality markers unseen by humans, improve selection accuracy, accelerate lab workflow, and show potential to discover new fertility biomarkers.</t>
  </si>
  <si>
    <t>Combining clinical, imaging, and biochemical data via AI models increases diagnostic accuracy and reduces missed diagnoses, enabling earlier and better-targeted care.</t>
  </si>
  <si>
    <t>Genetic algorithms aid feature selection, enhancing the prediction of good quality eggs; AI assists in rapid, consistent egg grading improving IVF cycle success.</t>
  </si>
  <si>
    <t>Automating oocyte selection accelerates lab processes and improves fertilization success rates by reducing subjective human error.</t>
  </si>
  <si>
    <t>Personalized AI-guided stimulation protocols lower the risk of overstimulation and improve safety and efficiency in IVF treatments.</t>
  </si>
  <si>
    <t>Real-time monitoring with AI enables early detection of treatment complications, improving responsiveness and patient safety.</t>
  </si>
  <si>
    <t>Data not publicly available; HFEA multicenter clinical data used with restricted access.</t>
  </si>
  <si>
    <t>Not publicly available; data from multiple IVF clinics with privacy constraints.</t>
  </si>
  <si>
    <t>Data sourced from multiple lab datasets cited in literature; no public repository.</t>
  </si>
  <si>
    <t>Clinical imaging and EHR data not publicly shared; available under research agreements.</t>
  </si>
  <si>
    <t>Dataset available upon request from corresponding research institution only.</t>
  </si>
  <si>
    <t>Lab image data proprietary and not publicly accessible.</t>
  </si>
  <si>
    <t>Multi-center clinical records dataset with restricted access; no open download.</t>
  </si>
  <si>
    <t>Data sets in review; generally non-public due to clinical privacy.</t>
  </si>
  <si>
    <t>Time-lapse image data proprietary to partner clinics; not openly available.</t>
  </si>
  <si>
    <t>Preprocessing Steps</t>
  </si>
  <si>
    <t>Data Augumentation</t>
  </si>
  <si>
    <t>ML Models &amp; Versions/Techniques</t>
  </si>
  <si>
    <t>Accuracy &amp; Key Metrics</t>
  </si>
  <si>
    <t>Model Type</t>
  </si>
  <si>
    <t>Training &amp; Validation Approach</t>
  </si>
  <si>
    <t>HFEA multicenter registry (UK),Tabular Clinical data</t>
  </si>
  <si>
    <t>Female age, Male age, BMI, Smoking status, Vitamin D, Previous pregnancy/live birth, AMH, AFC, FSH, LH, Endometrial thickness, Embryo quality, Sperm count, morphology, motility, Duration of infertility, Cause of infertility, etc.</t>
  </si>
  <si>
    <t>Imputation, Scaling, Normalization, Encoding, Balancing, Selection, Cleaning ​</t>
  </si>
  <si>
    <t>SMOTE (synthetic minority oversampling for class balancing) ​</t>
  </si>
  <si>
    <t>Logistic Regression, SVM (RBF kernel), Random Forest (100–500 trees), AdaBoost, LogitBoost, Genetic Algorithm</t>
  </si>
  <si>
    <t>LR: 94.2% Acc, AUC 0.92; SVM: 95.1% Acc, AUC 0.93; RF: 96.35% Acc, AUC 0.95; AdaBoost: 95.8% Acc; LogitBoost: 96% Acc ​</t>
  </si>
  <si>
    <t>Classification (Binary: IVF live birth success/failure) &amp; Regression (Probability score for IVF success prediction)</t>
  </si>
  <si>
    <t>Used 17,900 IVF cycles/patient cases for model learning, with robust evaluation through 10-fold cross-validation for reliable performance assessment.</t>
  </si>
  <si>
    <t>Apply deep learning image analysis to automatically grade embryos based on objective criteria, making selection more accurate and consistent across staff and clinics.</t>
  </si>
  <si>
    <t>Multi-center time-lapse embryo image banks,Image data, time-lapse video</t>
  </si>
  <si>
    <t>Multiple image-derived morphological features, embryologist qualitative scores, time-lapse imaging parameters</t>
  </si>
  <si>
    <t>Selection, Cleaning, Imputation, Reduction ​</t>
  </si>
  <si>
    <t>Image augmentation (cropping, flipping, rotation, scaling, synthetic sample generation—varies by reviewed study); SMOTE for class imbalance ​</t>
  </si>
  <si>
    <t>SVM (linear &amp; RBF), Random Forest, ANN (MLP), CART, Decision Trees, Naive Bayes</t>
  </si>
  <si>
    <t>ANN: 91% Acc; SVM: 87% Acc; RF: 89% Acc; DT: 75% Acc; NB: 74% Acc</t>
  </si>
  <si>
    <t>Multi-class Classification (Embryo morphological quality classes by grading system/time-lapse imaging)</t>
  </si>
  <si>
    <t>Cited literature/lab image datasets,Mixed: tabular, imaging</t>
  </si>
  <si>
    <t>Data on gamete morphology, maturation stage, sperm parameters</t>
  </si>
  <si>
    <t>Cleaning, Selection, Normalization ​</t>
  </si>
  <si>
    <t>Imaging augmentation (review context; rotation, flipping, synthetic image generation possible, not explicit) ​</t>
  </si>
  <si>
    <t>SVM (RBF), CNN (ResNet-50, VGG16), ANN (feedforward), Hybrid ensembles</t>
  </si>
  <si>
    <t>SVM: ~89-93%; CNN: 86-91%; Ensembles: 88-91% Acc</t>
  </si>
  <si>
    <t>Classification (Gamete—sperm/oocyte—morphology and motility: binary/multi-class quality assessment)</t>
  </si>
  <si>
    <t>Employed up to ~2,500 gamete samples as training data with model performance tested by both cross-validation and a separate hold-out test set for confirmation.</t>
  </si>
  <si>
    <t>Hospital imaging and clinical EHRs,Tabular clinical data</t>
  </si>
  <si>
    <t>Various clinical variables related to hormonal profiles, ultrasound measurements, metabolic indicators, patient demographics</t>
  </si>
  <si>
    <t>Cleaning, Imputation, Normalization ​</t>
  </si>
  <si>
    <t>Not detailed or not explicitly reported ​</t>
  </si>
  <si>
    <t>SVM (linear/poly), Random Forest, KNN, Deep CNN, LogReg, Bayesian Networks</t>
  </si>
  <si>
    <t>SVM: 93% Acc; RF: 94% Acc; KNN: 88%; CNN: 91% Acc; LR: 86%; BN: 87%</t>
  </si>
  <si>
    <t>Classification (Binary: PCOS diagnosis vs. non-PCOS, clinical/biochemical/imaging-based)</t>
  </si>
  <si>
    <t>Used a maximum of 1,852 participant records, with the model evaluated on external, independent test datasets to verify real-world accuracy.</t>
  </si>
  <si>
    <t>Variables related to patient demographics, hormone levels, follicle counts, oocyte quality, lab measurements, treatment protocols</t>
  </si>
  <si>
    <t>Selection, Scaling, Balancing, Cleaning, Reduction ​</t>
  </si>
  <si>
    <t>SMOTE (synthetic minority class over-sampling), possible image augmentation in reviewed works ​</t>
  </si>
  <si>
    <t>RF (GA optimized), SVM, AdaBoost, ANN (2-3 layers), Recursive Partitioning</t>
  </si>
  <si>
    <t>AdaBoost: 89.8% Acc; RF: 88.5%; SVM: 89%; ANN: 87%; RPART: 85%</t>
  </si>
  <si>
    <t>Classification (Egg quality grading, typically multi-class: e.g., A/B/C grades or binary mature/immature)</t>
  </si>
  <si>
    <t>Used 3,200 patient cycles for training, and model validation performed by splitting data into train and validation subsets for tuning and evaluation.</t>
  </si>
  <si>
    <t>Microscopy image datasets,Tabular lab, culture data</t>
  </si>
  <si>
    <t>Follicle size, hormone levels, culture conditions, media composition, supplementation details</t>
  </si>
  <si>
    <t>Selection, Filtering, Normalization, Cleaning ​</t>
  </si>
  <si>
    <t>No explicit augmentation in preprocessing; likely image-based in primary works mentioned (e.g., mirroring, rotation, scaling) ​</t>
  </si>
  <si>
    <t>SVM (linear), RF, CNN embeddings (ResNet)</t>
  </si>
  <si>
    <t>SVM: 88% Acc; RF: 90% Acc</t>
  </si>
  <si>
    <t>Classification (Oocyte selection for IVF: binary suitable/unsuitable or graded quality classes)</t>
  </si>
  <si>
    <t>Trained on up to 636 oocyte/follicle records, and utilized k-fold cross-validation—repeatedly splitting the data for multiple rounds of training and testing.</t>
  </si>
  <si>
    <t>US/EU multicenter clinical registries,Mixed: tabular, imaging</t>
  </si>
  <si>
    <t>Patient demographics, hormone levels during stimulation, ultrasound follicle assessments, treatment protocols</t>
  </si>
  <si>
    <t>Cleaning, Imputation, Selection, Normalization, Scaling, Balancing ​</t>
  </si>
  <si>
    <t>Not explicitly stated; augmentation rare, as data are usually tabular/clinical. If present, likely SMOTE or synthetic oversampling ​</t>
  </si>
  <si>
    <t>kNN, Linear Regression, Ensemble GBM, LSTM for time series</t>
  </si>
  <si>
    <t>KNN: 82% Acc; Ensemble: 87%; LSTM: 85%; Regression R2: 0.80</t>
  </si>
  <si>
    <t>Regression (Continuous prediction: number of oocytes, hormone/follicle response in stimulation)</t>
  </si>
  <si>
    <t>Used 17,305 cycle/record samples for AI model training, employing nested cross-validation for simultaneous parameter tuning and unbiased performance testing.</t>
  </si>
  <si>
    <t>Clinic EMR, lab and biometric data,Mixed: tabular, imaging</t>
  </si>
  <si>
    <t>Clinical patient demographics, ultrasound measurements (e.g. follicle size), lab hormone values, prior IVF outcomes</t>
  </si>
  <si>
    <t>Extraction, Imputation, Encoding, Selection, Normalization, Scaling, Cleaning ​</t>
  </si>
  <si>
    <t>Image augmentation (for data from microscopy/ultrasound: rotation, flipping, noise), plus SMOTE for imbalanced classes ​</t>
  </si>
  <si>
    <t>SVM (poly), XGBoost, Gradient Boosting, ANN (4-layer MLP)</t>
  </si>
  <si>
    <t>ANN: 95% Acc; GB: 90%; SVM: 86%</t>
  </si>
  <si>
    <t>Classification (Risk stratification or anomaly detection: patient risk levels, error events, complications)</t>
  </si>
  <si>
    <t>Processed up to 37,062 records (mix of cycles, follicles, and images); evaluated model in real-time clinical context, collecting feedback from new, unseen data.</t>
  </si>
  <si>
    <t>Time-lapse kinetic embryo image datasets,Mixed: tabular, imaging</t>
  </si>
  <si>
    <t>Embryo morphological data, time-lapse imaging parameters, clinical patient data</t>
  </si>
  <si>
    <t>Cropping, Augmentation, Normalization, Balancing, Selection ​</t>
  </si>
  <si>
    <t>Detailed image augmentation (cropping, flipping, rotation, scaling, synthetic variations), balancing by augmentation ​</t>
  </si>
  <si>
    <t>Deep CNN (ResNet-50, Inception-v4), Bayesian Networks, XGBoost</t>
  </si>
  <si>
    <t>CNN: 90.5% Acc; BN: 91%; XGBoost: 88%</t>
  </si>
  <si>
    <t>Classification (Embryo viability: binary (viable/nonviable) or probability ranking for implantation/live birth)</t>
  </si>
  <si>
    <t>Used 11,898 embryo examples for training, with both external datasets and cross-validation applied for strict performance checking and external validity.</t>
  </si>
  <si>
    <t xml:space="preserve">Using AI in IVF and fertility clinics causes worry about fairness, privacy, equity,transparency,possible mistakes, and trust </t>
  </si>
  <si>
    <t>Establish clear ethical guidelines, data privacy protocols, transparency standards, and validation processes for any AI system used in reproductive care to safeguard all patients,better data sharing and explaining how AI systems work to everyone involved.</t>
  </si>
  <si>
    <t>There is no data to download because this is a review article, not a study with patient records.</t>
  </si>
  <si>
    <t>No patient dataset is used; the article reviews other studies and regulations to understand the issues.</t>
  </si>
  <si>
    <t>No real variables; the article talks about important ideas: privacy, fairness, diversity, how well AI works, and how clear the process is.</t>
  </si>
  <si>
    <t>N/A (Review)</t>
  </si>
  <si>
    <t>No machine learning models are used here; the article discusses problems with black-box AI and suggests using models that can explain themselves.</t>
  </si>
  <si>
    <t>Trained on up to 27,921 embryo images or records and validated results using a train/test data split alongside cross-validation to maximize Robustness.</t>
  </si>
  <si>
    <t>If AI in IVF gets stronger rules and governance, it could treat patients more fairly. But right now, most systems aren't open about their decisions or data.so these changes are needed for trust and real-world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</si>
</sst>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1"/>
      <name val="Calibri"/>
      <family val="2"/>
      <scheme val="minor"/>
    </font>
    <font>
      <sz val="9.6"/>
      <color theme="1"/>
      <name val="Segoe UI"/>
      <family val="2"/>
    </font>
    <font>
      <b/>
      <sz val="12"/>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9" tint="0.39997558519241921"/>
        <bgColor rgb="FFFFE599"/>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1" fillId="0" borderId="1" xfId="1" applyBorder="1" applyAlignment="1">
      <alignment horizontal="center" vertical="center" wrapText="1"/>
    </xf>
    <xf numFmtId="0" fontId="3" fillId="0" borderId="1" xfId="0" applyFont="1" applyBorder="1" applyAlignment="1">
      <alignment horizontal="center" vertical="center" wrapText="1"/>
    </xf>
    <xf numFmtId="0" fontId="4" fillId="4" borderId="1" xfId="0" applyFont="1" applyFill="1" applyBorder="1" applyAlignment="1">
      <alignment horizontal="left" vertical="center" wrapText="1"/>
    </xf>
    <xf numFmtId="0" fontId="3" fillId="0" borderId="1" xfId="0" applyFont="1" applyBorder="1" applyAlignment="1">
      <alignment vertical="center" wrapText="1"/>
    </xf>
    <xf numFmtId="0" fontId="0" fillId="0" borderId="2" xfId="0" applyBorder="1"/>
    <xf numFmtId="0" fontId="3" fillId="0" borderId="2" xfId="0" applyFont="1" applyBorder="1" applyAlignment="1">
      <alignment vertical="center" wrapText="1"/>
    </xf>
    <xf numFmtId="0" fontId="4" fillId="4" borderId="2" xfId="0" applyFont="1" applyFill="1" applyBorder="1" applyAlignment="1">
      <alignment horizontal="left" vertical="center" wrapText="1"/>
    </xf>
    <xf numFmtId="0" fontId="4"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tabSelected="1" topLeftCell="A7" zoomScaleNormal="100" workbookViewId="0">
      <selection activeCell="B9" sqref="B9"/>
    </sheetView>
  </sheetViews>
  <sheetFormatPr defaultColWidth="8.77734375" defaultRowHeight="15.6" x14ac:dyDescent="0.3"/>
  <cols>
    <col min="1" max="1" width="11.44140625" style="3" customWidth="1"/>
    <col min="2" max="4" width="40.77734375" style="3" customWidth="1"/>
    <col min="5" max="5" width="40.77734375" style="7" customWidth="1"/>
    <col min="6" max="14" width="40.77734375" style="3" customWidth="1"/>
    <col min="15" max="16384" width="8.77734375" style="3"/>
  </cols>
  <sheetData>
    <row r="1" spans="1:14" ht="22.05" customHeight="1" x14ac:dyDescent="0.3">
      <c r="A1" s="1" t="s">
        <v>0</v>
      </c>
      <c r="B1" s="1" t="s">
        <v>1</v>
      </c>
      <c r="C1" s="1" t="s">
        <v>2</v>
      </c>
      <c r="D1" s="2" t="s">
        <v>4</v>
      </c>
      <c r="E1" s="12" t="s">
        <v>3</v>
      </c>
      <c r="F1" s="1" t="s">
        <v>7</v>
      </c>
      <c r="G1" s="1" t="s">
        <v>6</v>
      </c>
      <c r="H1" s="1" t="s">
        <v>44</v>
      </c>
      <c r="I1" s="1" t="s">
        <v>45</v>
      </c>
      <c r="J1" s="1" t="s">
        <v>46</v>
      </c>
      <c r="K1" s="1" t="s">
        <v>47</v>
      </c>
      <c r="L1" s="1" t="s">
        <v>48</v>
      </c>
      <c r="M1" s="1" t="s">
        <v>49</v>
      </c>
      <c r="N1" s="1" t="s">
        <v>5</v>
      </c>
    </row>
    <row r="2" spans="1:14" ht="85.05" customHeight="1" x14ac:dyDescent="0.3">
      <c r="A2" s="4">
        <v>1</v>
      </c>
      <c r="B2" s="5" t="str">
        <f>HYPERLINK("file:///C:/Users/Sharan/OneDrive/Desktop/AI%20powered%20follicle%20monitoring%20and%20analysis/Research%20Articles/Article%20Links/1.Predictive%20Models%20for%20IVF%20Success.pdf","Predictive Models for IVF Success")</f>
        <v>Predictive Models for IVF Success</v>
      </c>
      <c r="C2" s="6" t="s">
        <v>9</v>
      </c>
      <c r="D2" s="6" t="s">
        <v>10</v>
      </c>
      <c r="E2" s="6" t="s">
        <v>35</v>
      </c>
      <c r="F2" s="6" t="s">
        <v>50</v>
      </c>
      <c r="G2" s="6" t="s">
        <v>51</v>
      </c>
      <c r="H2" s="6" t="s">
        <v>52</v>
      </c>
      <c r="I2" s="6" t="s">
        <v>53</v>
      </c>
      <c r="J2" s="6" t="s">
        <v>54</v>
      </c>
      <c r="K2" s="6" t="s">
        <v>55</v>
      </c>
      <c r="L2" s="6" t="s">
        <v>56</v>
      </c>
      <c r="M2" s="6" t="s">
        <v>57</v>
      </c>
      <c r="N2" s="6" t="s">
        <v>27</v>
      </c>
    </row>
    <row r="3" spans="1:14" ht="85.05" customHeight="1" x14ac:dyDescent="0.3">
      <c r="A3" s="4">
        <v>2</v>
      </c>
      <c r="B3" s="5" t="str">
        <f>HYPERLINK("file:///C:/Users/Sharan/OneDrive/Desktop/AI%20powered%20follicle%20monitoring%20and%20analysis/Research%20Articles/Article%20Links/2.Machine%20Learning%20in%20Embryo%20Grading.pdf","Machine Learning in Embryo Grading")</f>
        <v>Machine Learning in Embryo Grading</v>
      </c>
      <c r="C3" s="6" t="s">
        <v>11</v>
      </c>
      <c r="D3" s="6" t="s">
        <v>58</v>
      </c>
      <c r="E3" s="6" t="s">
        <v>36</v>
      </c>
      <c r="F3" s="6" t="s">
        <v>59</v>
      </c>
      <c r="G3" s="6" t="s">
        <v>60</v>
      </c>
      <c r="H3" s="6" t="s">
        <v>61</v>
      </c>
      <c r="I3" s="6" t="s">
        <v>62</v>
      </c>
      <c r="J3" s="6" t="s">
        <v>63</v>
      </c>
      <c r="K3" s="6" t="s">
        <v>64</v>
      </c>
      <c r="L3" s="6" t="s">
        <v>65</v>
      </c>
      <c r="M3" s="6" t="s">
        <v>128</v>
      </c>
      <c r="N3" s="6" t="s">
        <v>28</v>
      </c>
    </row>
    <row r="4" spans="1:14" ht="85.05" customHeight="1" x14ac:dyDescent="0.3">
      <c r="A4" s="4">
        <v>3</v>
      </c>
      <c r="B4" s="5" t="str">
        <f>HYPERLINK("file:///C:/Users/Sharan/OneDrive/Desktop/AI%20powered%20follicle%20monitoring%20and%20analysis/Research%20Articles/Article%20Links/3.AI%20in%20Gamete%20Selection.pdf","Gamete Selection Automation")</f>
        <v>Gamete Selection Automation</v>
      </c>
      <c r="C4" s="6" t="s">
        <v>8</v>
      </c>
      <c r="D4" s="6" t="s">
        <v>12</v>
      </c>
      <c r="E4" s="6" t="s">
        <v>37</v>
      </c>
      <c r="F4" s="6" t="s">
        <v>66</v>
      </c>
      <c r="G4" s="6" t="s">
        <v>67</v>
      </c>
      <c r="H4" s="6" t="s">
        <v>68</v>
      </c>
      <c r="I4" s="6" t="s">
        <v>69</v>
      </c>
      <c r="J4" s="6" t="s">
        <v>70</v>
      </c>
      <c r="K4" s="6" t="s">
        <v>71</v>
      </c>
      <c r="L4" s="6" t="s">
        <v>72</v>
      </c>
      <c r="M4" s="6" t="s">
        <v>73</v>
      </c>
      <c r="N4" s="6" t="s">
        <v>29</v>
      </c>
    </row>
    <row r="5" spans="1:14" ht="85.05" customHeight="1" x14ac:dyDescent="0.3">
      <c r="A5" s="4">
        <v>4</v>
      </c>
      <c r="B5" s="5" t="str">
        <f>HYPERLINK("file:///C:/Users/Sharan/OneDrive/Desktop/AI%20powered%20follicle%20monitoring%20and%20analysis/Research%20Articles/Article%20Links/4.AI%20Diagnosis%20of%20PCOS.pdf","Diagnosing PCOS with ML")</f>
        <v>Diagnosing PCOS with ML</v>
      </c>
      <c r="C5" s="6" t="s">
        <v>13</v>
      </c>
      <c r="D5" s="6" t="s">
        <v>14</v>
      </c>
      <c r="E5" s="6" t="s">
        <v>38</v>
      </c>
      <c r="F5" s="6" t="s">
        <v>74</v>
      </c>
      <c r="G5" s="6" t="s">
        <v>75</v>
      </c>
      <c r="H5" s="6" t="s">
        <v>76</v>
      </c>
      <c r="I5" s="6" t="s">
        <v>77</v>
      </c>
      <c r="J5" s="6" t="s">
        <v>78</v>
      </c>
      <c r="K5" s="6" t="s">
        <v>79</v>
      </c>
      <c r="L5" s="6" t="s">
        <v>80</v>
      </c>
      <c r="M5" s="6" t="s">
        <v>81</v>
      </c>
      <c r="N5" s="6" t="s">
        <v>30</v>
      </c>
    </row>
    <row r="6" spans="1:14" ht="85.05" customHeight="1" x14ac:dyDescent="0.3">
      <c r="A6" s="4">
        <v>5</v>
      </c>
      <c r="B6" s="5" t="str">
        <f>HYPERLINK("file:///C:/Users/Sharan/OneDrive/Desktop/AI%20powered%20follicle%20monitoring%20and%20analysis/Research%20Articles/Article%20Links/5.AI%20in%20Egg%20Quality.pdf","Egg Grading with Genetic Algorithms")</f>
        <v>Egg Grading with Genetic Algorithms</v>
      </c>
      <c r="C6" s="6" t="s">
        <v>15</v>
      </c>
      <c r="D6" s="6" t="s">
        <v>16</v>
      </c>
      <c r="E6" s="6" t="s">
        <v>39</v>
      </c>
      <c r="F6" s="6" t="s">
        <v>17</v>
      </c>
      <c r="G6" s="6" t="s">
        <v>82</v>
      </c>
      <c r="H6" s="6" t="s">
        <v>83</v>
      </c>
      <c r="I6" s="6" t="s">
        <v>84</v>
      </c>
      <c r="J6" s="6" t="s">
        <v>85</v>
      </c>
      <c r="K6" s="6" t="s">
        <v>86</v>
      </c>
      <c r="L6" s="6" t="s">
        <v>87</v>
      </c>
      <c r="M6" s="6" t="s">
        <v>88</v>
      </c>
      <c r="N6" s="6" t="s">
        <v>31</v>
      </c>
    </row>
    <row r="7" spans="1:14" ht="85.05" customHeight="1" x14ac:dyDescent="0.3">
      <c r="A7" s="4">
        <v>6</v>
      </c>
      <c r="B7" s="5" t="str">
        <f>HYPERLINK("file:///C:/Users/Sharan/OneDrive/Desktop/AI%20powered%20follicle%20monitoring%20and%20analysis/Research%20Articles/Article%20Links/6.AI-based%20Oocyte%20Selection.pdf","Oocyte Selection with Computer Vision")</f>
        <v>Oocyte Selection with Computer Vision</v>
      </c>
      <c r="C7" s="6" t="s">
        <v>18</v>
      </c>
      <c r="D7" s="6" t="s">
        <v>19</v>
      </c>
      <c r="E7" s="6" t="s">
        <v>40</v>
      </c>
      <c r="F7" s="6" t="s">
        <v>89</v>
      </c>
      <c r="G7" s="6" t="s">
        <v>90</v>
      </c>
      <c r="H7" s="6" t="s">
        <v>91</v>
      </c>
      <c r="I7" s="6" t="s">
        <v>92</v>
      </c>
      <c r="J7" s="6" t="s">
        <v>93</v>
      </c>
      <c r="K7" s="6" t="s">
        <v>94</v>
      </c>
      <c r="L7" s="6" t="s">
        <v>95</v>
      </c>
      <c r="M7" s="6" t="s">
        <v>96</v>
      </c>
      <c r="N7" s="6" t="s">
        <v>32</v>
      </c>
    </row>
    <row r="8" spans="1:14" ht="85.05" customHeight="1" x14ac:dyDescent="0.3">
      <c r="A8" s="4">
        <v>7</v>
      </c>
      <c r="B8" s="5" t="str">
        <f>HYPERLINK("file:///C:/Users/Sharan/OneDrive/Desktop/AI%20powered%20follicle%20monitoring%20and%20analysis/Research%20Articles/Article%20Links/7.AI-driven%20Ovarian%20Stimulation.pdf","AI-driven Ovarian Stimulation or Optimizing IVF Drug Dosing")</f>
        <v>AI-driven Ovarian Stimulation or Optimizing IVF Drug Dosing</v>
      </c>
      <c r="C8" s="6" t="s">
        <v>20</v>
      </c>
      <c r="D8" s="6" t="s">
        <v>21</v>
      </c>
      <c r="E8" s="6" t="s">
        <v>41</v>
      </c>
      <c r="F8" s="6" t="s">
        <v>97</v>
      </c>
      <c r="G8" s="6" t="s">
        <v>98</v>
      </c>
      <c r="H8" s="6" t="s">
        <v>99</v>
      </c>
      <c r="I8" s="6" t="s">
        <v>100</v>
      </c>
      <c r="J8" s="6" t="s">
        <v>101</v>
      </c>
      <c r="K8" s="6" t="s">
        <v>102</v>
      </c>
      <c r="L8" s="6" t="s">
        <v>103</v>
      </c>
      <c r="M8" s="6" t="s">
        <v>104</v>
      </c>
      <c r="N8" s="6" t="s">
        <v>33</v>
      </c>
    </row>
    <row r="9" spans="1:14" ht="85.05" customHeight="1" x14ac:dyDescent="0.3">
      <c r="A9" s="4">
        <v>8</v>
      </c>
      <c r="B9" s="5" t="str">
        <f>HYPERLINK("file:///C:/Users/Sharan/OneDrive/Desktop/AI%20powered%20follicle%20monitoring%20and%20analysis/Research%20Articles/Article%20Links/8.AI-enhanced%20Monitoring%20in%20IVF.pdf","AI-Enhanced Monitoring in IVF")</f>
        <v>AI-Enhanced Monitoring in IVF</v>
      </c>
      <c r="C9" s="6" t="s">
        <v>22</v>
      </c>
      <c r="D9" s="6" t="s">
        <v>23</v>
      </c>
      <c r="E9" s="6" t="s">
        <v>42</v>
      </c>
      <c r="F9" s="6" t="s">
        <v>105</v>
      </c>
      <c r="G9" s="6" t="s">
        <v>106</v>
      </c>
      <c r="H9" s="6" t="s">
        <v>107</v>
      </c>
      <c r="I9" s="6" t="s">
        <v>108</v>
      </c>
      <c r="J9" s="6" t="s">
        <v>109</v>
      </c>
      <c r="K9" s="6" t="s">
        <v>110</v>
      </c>
      <c r="L9" s="6" t="s">
        <v>111</v>
      </c>
      <c r="M9" s="6" t="s">
        <v>112</v>
      </c>
      <c r="N9" s="6" t="s">
        <v>34</v>
      </c>
    </row>
    <row r="10" spans="1:14" ht="85.05" customHeight="1" x14ac:dyDescent="0.3">
      <c r="A10" s="4">
        <v>9</v>
      </c>
      <c r="B10" s="5" t="str">
        <f>HYPERLINK("file:///C:/Users/Sharan/OneDrive/Desktop/Research%20Articles/Article%20Links/9.Advancing%20embryo%20selection%20in%20artificial%20intelligence-assisted%20reproductive%20technologies%20using%20timelapse%20mages.pdf","Advancing embryo selection using AI")</f>
        <v>Advancing embryo selection using AI</v>
      </c>
      <c r="C10" s="6" t="s">
        <v>24</v>
      </c>
      <c r="D10" s="6" t="s">
        <v>25</v>
      </c>
      <c r="E10" s="6" t="s">
        <v>43</v>
      </c>
      <c r="F10" s="6" t="s">
        <v>113</v>
      </c>
      <c r="G10" s="6" t="s">
        <v>114</v>
      </c>
      <c r="H10" s="6" t="s">
        <v>115</v>
      </c>
      <c r="I10" s="6" t="s">
        <v>116</v>
      </c>
      <c r="J10" s="6" t="s">
        <v>117</v>
      </c>
      <c r="K10" s="6" t="s">
        <v>118</v>
      </c>
      <c r="L10" s="6" t="s">
        <v>119</v>
      </c>
      <c r="M10" s="6" t="s">
        <v>120</v>
      </c>
      <c r="N10" s="6" t="s">
        <v>26</v>
      </c>
    </row>
    <row r="11" spans="1:14" ht="85.05" customHeight="1" x14ac:dyDescent="0.3">
      <c r="A11" s="4">
        <v>10</v>
      </c>
      <c r="B11" s="5" t="str">
        <f>HYPERLINK("file:///C:/Users/Sharan/OneDrive/Desktop/AI%20powered%20follicle%20monitoring%20and%20analysis/Research%20Articles/Article%20Links/10.Ethical%20Issues%20in%20AI-based%20Reproductive%20Care.pdf","Ethical Issues in AI-based Reproductive Care")</f>
        <v>Ethical Issues in AI-based Reproductive Care</v>
      </c>
      <c r="C11" s="6" t="s">
        <v>121</v>
      </c>
      <c r="D11" s="6" t="s">
        <v>122</v>
      </c>
      <c r="E11" s="6" t="s">
        <v>123</v>
      </c>
      <c r="F11" s="6" t="s">
        <v>124</v>
      </c>
      <c r="G11" s="6" t="s">
        <v>125</v>
      </c>
      <c r="H11" s="6" t="s">
        <v>126</v>
      </c>
      <c r="I11" s="6" t="s">
        <v>126</v>
      </c>
      <c r="J11" s="6" t="s">
        <v>126</v>
      </c>
      <c r="K11" s="6" t="s">
        <v>126</v>
      </c>
      <c r="L11" s="6" t="s">
        <v>127</v>
      </c>
      <c r="M11" s="6" t="s">
        <v>126</v>
      </c>
      <c r="N11" s="6" t="s">
        <v>129</v>
      </c>
    </row>
    <row r="12" spans="1:14" x14ac:dyDescent="0.3">
      <c r="A12" s="9"/>
      <c r="B12" s="9"/>
      <c r="C12" s="10"/>
      <c r="D12" s="10"/>
      <c r="E12" s="11"/>
      <c r="F12" s="10"/>
      <c r="G12" s="10"/>
      <c r="H12" s="10"/>
      <c r="I12" s="10"/>
      <c r="J12" s="8"/>
    </row>
    <row r="13" spans="1:14" x14ac:dyDescent="0.3">
      <c r="C13" s="8"/>
      <c r="D13" s="8"/>
      <c r="F13" s="8"/>
      <c r="G13" s="8"/>
      <c r="H13" s="8"/>
      <c r="I13" s="8"/>
      <c r="J13" s="8"/>
    </row>
    <row r="25" spans="4:4" x14ac:dyDescent="0.3">
      <c r="D25"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2025-10-22T03:17:30Z</dcterms:modified>
</cp:coreProperties>
</file>